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nak\OneDrive\"/>
    </mc:Choice>
  </mc:AlternateContent>
  <xr:revisionPtr revIDLastSave="0" documentId="13_ncr:1_{E507651A-743E-4EC5-9E2F-CE61AAD9CF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F13" i="1"/>
  <c r="M3" i="1"/>
  <c r="M4" i="1"/>
  <c r="M5" i="1"/>
  <c r="M6" i="1"/>
  <c r="M7" i="1"/>
  <c r="M8" i="1"/>
  <c r="M9" i="1"/>
  <c r="M10" i="1"/>
  <c r="M11" i="1"/>
  <c r="M2" i="1"/>
  <c r="K4" i="1"/>
  <c r="K5" i="1"/>
  <c r="K6" i="1"/>
  <c r="K7" i="1"/>
  <c r="K8" i="1"/>
  <c r="K9" i="1"/>
  <c r="K10" i="1"/>
  <c r="K11" i="1"/>
  <c r="K3" i="1"/>
  <c r="H3" i="1"/>
  <c r="J3" i="1" s="1"/>
  <c r="H4" i="1"/>
  <c r="J4" i="1" s="1"/>
  <c r="H5" i="1"/>
  <c r="H6" i="1"/>
  <c r="H7" i="1"/>
  <c r="J7" i="1" s="1"/>
  <c r="H8" i="1"/>
  <c r="J8" i="1" s="1"/>
  <c r="H9" i="1"/>
  <c r="J9" i="1" s="1"/>
  <c r="H10" i="1"/>
  <c r="J10" i="1" s="1"/>
  <c r="H11" i="1"/>
  <c r="J11" i="1" s="1"/>
  <c r="H2" i="1"/>
  <c r="J2" i="1" l="1"/>
  <c r="K2" i="1" s="1"/>
  <c r="J6" i="1"/>
  <c r="J5" i="1"/>
</calcChain>
</file>

<file path=xl/sharedStrings.xml><?xml version="1.0" encoding="utf-8"?>
<sst xmlns="http://schemas.openxmlformats.org/spreadsheetml/2006/main" count="35" uniqueCount="27">
  <si>
    <t>serial no</t>
  </si>
  <si>
    <t>supplier name</t>
  </si>
  <si>
    <t>product name</t>
  </si>
  <si>
    <t>date of purchased</t>
  </si>
  <si>
    <t>date of expiry</t>
  </si>
  <si>
    <t>qty</t>
  </si>
  <si>
    <t>cost price</t>
  </si>
  <si>
    <t>total amount</t>
  </si>
  <si>
    <t>aj supplier</t>
  </si>
  <si>
    <t>bhavani supplier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</si>
  <si>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</si>
  <si>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</si>
  <si>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</si>
  <si>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</si>
  <si>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</si>
  <si>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</si>
  <si>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</si>
  <si>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</si>
  <si>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</si>
  <si>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</si>
  <si>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amount after gst</t>
  </si>
  <si>
    <t>CGST(12%)</t>
  </si>
  <si>
    <t>SGST(8%)</t>
  </si>
  <si>
    <t>selling price</t>
  </si>
  <si>
    <t>total sales</t>
  </si>
  <si>
    <t>profit margin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</si>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</sst>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E1" workbookViewId="0">
      <selection activeCell="F13" sqref="F13:M13"/>
    </sheetView>
  </sheetViews>
  <sheetFormatPr defaultRowHeight="14.5" x14ac:dyDescent="0.35"/>
  <cols>
    <col min="2" max="2" width="14.6328125" customWidth="1"/>
    <col min="3" max="3" width="12.6328125" customWidth="1"/>
    <col min="4" max="4" width="15.36328125" customWidth="1"/>
    <col min="5" max="5" width="12.08984375" customWidth="1"/>
    <col min="8" max="8" width="11.6328125" customWidth="1"/>
    <col min="9" max="10" width="9.36328125" customWidth="1"/>
    <col min="11" max="11" width="15" customWidth="1"/>
    <col min="12" max="12" width="10.6328125" customWidth="1"/>
    <col min="13" max="13" width="9.6328125" customWidth="1"/>
    <col min="14" max="14" width="11.45312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21</v>
      </c>
      <c r="J1" s="4" t="s">
        <v>22</v>
      </c>
      <c r="K1" s="4" t="s">
        <v>20</v>
      </c>
      <c r="L1" s="5" t="s">
        <v>23</v>
      </c>
      <c r="M1" s="5" t="s">
        <v>24</v>
      </c>
      <c r="N1" s="5" t="s">
        <v>25</v>
      </c>
    </row>
    <row r="2" spans="1:14" x14ac:dyDescent="0.35">
      <c r="A2">
        <v>1</v>
      </c>
      <c r="B2" t="s">
        <v>8</v>
      </c>
      <c r="C2" t="s">
        <v>10</v>
      </c>
      <c r="D2" s="1">
        <v>46190</v>
      </c>
      <c r="E2" s="1">
        <v>46220</v>
      </c>
      <c r="F2">
        <v>33</v>
      </c>
      <c r="G2">
        <v>148</v>
      </c>
      <c r="H2">
        <f>F2*G2</f>
        <v>4884</v>
      </c>
      <c r="I2" s="2">
        <v>586.07999999999993</v>
      </c>
      <c r="J2" s="2">
        <f>H2*8%</f>
        <v>390.72</v>
      </c>
      <c r="K2" s="2">
        <f>SUM(H2:J2)</f>
        <v>5860.8</v>
      </c>
      <c r="L2">
        <v>170</v>
      </c>
      <c r="M2">
        <f>L2*33</f>
        <v>5610</v>
      </c>
    </row>
    <row r="3" spans="1:14" x14ac:dyDescent="0.35">
      <c r="A3">
        <v>2</v>
      </c>
      <c r="B3" t="s">
        <v>8</v>
      </c>
      <c r="C3" t="s">
        <v>11</v>
      </c>
      <c r="D3" s="1">
        <v>46190</v>
      </c>
      <c r="E3" s="1">
        <v>46220</v>
      </c>
      <c r="F3">
        <v>23</v>
      </c>
      <c r="G3">
        <v>165</v>
      </c>
      <c r="H3">
        <f t="shared" ref="H3:H11" si="0">F3*G3</f>
        <v>3795</v>
      </c>
      <c r="I3" s="2">
        <v>455.4</v>
      </c>
      <c r="J3" s="2">
        <f t="shared" ref="J3:J11" si="1">H3*8%</f>
        <v>303.60000000000002</v>
      </c>
      <c r="K3" s="2">
        <f>SUM(H3:J3)</f>
        <v>4554</v>
      </c>
      <c r="L3">
        <v>200</v>
      </c>
      <c r="M3">
        <f t="shared" ref="M3:M11" si="2">L3*33</f>
        <v>6600</v>
      </c>
    </row>
    <row r="4" spans="1:14" x14ac:dyDescent="0.35">
      <c r="A4">
        <v>3</v>
      </c>
      <c r="B4" t="s">
        <v>8</v>
      </c>
      <c r="C4" t="s">
        <v>12</v>
      </c>
      <c r="D4" s="1">
        <v>46190</v>
      </c>
      <c r="E4" s="1">
        <v>46220</v>
      </c>
      <c r="F4">
        <v>1</v>
      </c>
      <c r="G4">
        <v>171</v>
      </c>
      <c r="H4">
        <f t="shared" si="0"/>
        <v>171</v>
      </c>
      <c r="I4" s="2">
        <v>20.52</v>
      </c>
      <c r="J4" s="2">
        <f t="shared" si="1"/>
        <v>13.68</v>
      </c>
      <c r="K4" s="2">
        <f t="shared" ref="K4:K11" si="3">SUM(H4:J4)</f>
        <v>205.20000000000002</v>
      </c>
      <c r="L4">
        <v>210</v>
      </c>
      <c r="M4">
        <f t="shared" si="2"/>
        <v>6930</v>
      </c>
    </row>
    <row r="5" spans="1:14" x14ac:dyDescent="0.35">
      <c r="A5">
        <v>4</v>
      </c>
      <c r="B5" t="s">
        <v>8</v>
      </c>
      <c r="C5" t="s">
        <v>13</v>
      </c>
      <c r="D5" s="1">
        <v>46190</v>
      </c>
      <c r="E5" s="1">
        <v>46220</v>
      </c>
      <c r="F5">
        <v>3</v>
      </c>
      <c r="G5">
        <v>79</v>
      </c>
      <c r="H5">
        <f t="shared" si="0"/>
        <v>237</v>
      </c>
      <c r="I5" s="2">
        <v>28.439999999999998</v>
      </c>
      <c r="J5" s="2">
        <f t="shared" si="1"/>
        <v>18.96</v>
      </c>
      <c r="K5" s="2">
        <f t="shared" si="3"/>
        <v>284.39999999999998</v>
      </c>
      <c r="L5">
        <v>120</v>
      </c>
      <c r="M5">
        <f t="shared" si="2"/>
        <v>3960</v>
      </c>
    </row>
    <row r="6" spans="1:14" x14ac:dyDescent="0.35">
      <c r="A6">
        <v>5</v>
      </c>
      <c r="B6" t="s">
        <v>8</v>
      </c>
      <c r="C6" t="s">
        <v>14</v>
      </c>
      <c r="D6" s="1">
        <v>46190</v>
      </c>
      <c r="E6" s="1">
        <v>46220</v>
      </c>
      <c r="F6">
        <v>22</v>
      </c>
      <c r="G6">
        <v>107</v>
      </c>
      <c r="H6">
        <f t="shared" si="0"/>
        <v>2354</v>
      </c>
      <c r="I6" s="2">
        <v>282.47999999999996</v>
      </c>
      <c r="J6" s="2">
        <f t="shared" si="1"/>
        <v>188.32</v>
      </c>
      <c r="K6" s="2">
        <f t="shared" si="3"/>
        <v>2824.8</v>
      </c>
      <c r="L6">
        <v>150</v>
      </c>
      <c r="M6">
        <f t="shared" si="2"/>
        <v>4950</v>
      </c>
    </row>
    <row r="7" spans="1:14" x14ac:dyDescent="0.35">
      <c r="A7">
        <v>6</v>
      </c>
      <c r="B7" t="s">
        <v>9</v>
      </c>
      <c r="C7" t="s">
        <v>15</v>
      </c>
      <c r="D7" s="1">
        <v>46191</v>
      </c>
      <c r="E7" s="1">
        <v>46221</v>
      </c>
      <c r="F7">
        <v>43</v>
      </c>
      <c r="G7">
        <v>85</v>
      </c>
      <c r="H7">
        <f t="shared" si="0"/>
        <v>3655</v>
      </c>
      <c r="I7" s="2">
        <v>438.59999999999997</v>
      </c>
      <c r="J7" s="2">
        <f t="shared" si="1"/>
        <v>292.40000000000003</v>
      </c>
      <c r="K7" s="2">
        <f t="shared" si="3"/>
        <v>4386</v>
      </c>
      <c r="L7">
        <v>140</v>
      </c>
      <c r="M7">
        <f t="shared" si="2"/>
        <v>4620</v>
      </c>
    </row>
    <row r="8" spans="1:14" x14ac:dyDescent="0.35">
      <c r="A8">
        <v>7</v>
      </c>
      <c r="B8" t="s">
        <v>9</v>
      </c>
      <c r="C8" t="s">
        <v>16</v>
      </c>
      <c r="D8" s="1">
        <v>46191</v>
      </c>
      <c r="E8" s="1">
        <v>46221</v>
      </c>
      <c r="F8">
        <v>21</v>
      </c>
      <c r="G8">
        <v>169</v>
      </c>
      <c r="H8">
        <f t="shared" si="0"/>
        <v>3549</v>
      </c>
      <c r="I8" s="2">
        <v>425.88</v>
      </c>
      <c r="J8" s="2">
        <f t="shared" si="1"/>
        <v>283.92</v>
      </c>
      <c r="K8" s="2">
        <f t="shared" si="3"/>
        <v>4258.8</v>
      </c>
      <c r="L8">
        <v>220</v>
      </c>
      <c r="M8">
        <f t="shared" si="2"/>
        <v>7260</v>
      </c>
    </row>
    <row r="9" spans="1:14" x14ac:dyDescent="0.35">
      <c r="A9">
        <v>8</v>
      </c>
      <c r="B9" t="s">
        <v>9</v>
      </c>
      <c r="C9" t="s">
        <v>17</v>
      </c>
      <c r="D9" s="1">
        <v>46191</v>
      </c>
      <c r="E9" s="1">
        <v>46221</v>
      </c>
      <c r="F9">
        <v>32</v>
      </c>
      <c r="G9">
        <v>170</v>
      </c>
      <c r="H9">
        <f t="shared" si="0"/>
        <v>5440</v>
      </c>
      <c r="I9" s="2">
        <v>652.79999999999995</v>
      </c>
      <c r="J9" s="2">
        <f t="shared" si="1"/>
        <v>435.2</v>
      </c>
      <c r="K9" s="2">
        <f t="shared" si="3"/>
        <v>6528</v>
      </c>
      <c r="L9">
        <v>250</v>
      </c>
      <c r="M9">
        <f t="shared" si="2"/>
        <v>8250</v>
      </c>
    </row>
    <row r="10" spans="1:14" x14ac:dyDescent="0.35">
      <c r="A10">
        <v>9</v>
      </c>
      <c r="B10" t="s">
        <v>9</v>
      </c>
      <c r="C10" t="s">
        <v>18</v>
      </c>
      <c r="D10" s="1">
        <v>46191</v>
      </c>
      <c r="E10" s="1">
        <v>46221</v>
      </c>
      <c r="F10">
        <v>33</v>
      </c>
      <c r="G10">
        <v>133</v>
      </c>
      <c r="H10">
        <f t="shared" si="0"/>
        <v>4389</v>
      </c>
      <c r="I10" s="2">
        <v>526.67999999999995</v>
      </c>
      <c r="J10" s="2">
        <f t="shared" si="1"/>
        <v>351.12</v>
      </c>
      <c r="K10" s="2">
        <f t="shared" si="3"/>
        <v>5266.8</v>
      </c>
      <c r="L10">
        <v>200</v>
      </c>
      <c r="M10">
        <f t="shared" si="2"/>
        <v>6600</v>
      </c>
    </row>
    <row r="11" spans="1:14" x14ac:dyDescent="0.35">
      <c r="A11">
        <v>10</v>
      </c>
      <c r="B11" t="s">
        <v>9</v>
      </c>
      <c r="C11" t="s">
        <v>19</v>
      </c>
      <c r="D11" s="1">
        <v>46191</v>
      </c>
      <c r="E11" s="1">
        <v>46221</v>
      </c>
      <c r="F11">
        <v>22</v>
      </c>
      <c r="G11">
        <v>147</v>
      </c>
      <c r="H11">
        <f t="shared" si="0"/>
        <v>3234</v>
      </c>
      <c r="I11" s="2">
        <v>388.08</v>
      </c>
      <c r="J11" s="2">
        <f t="shared" si="1"/>
        <v>258.72000000000003</v>
      </c>
      <c r="K11" s="2">
        <f t="shared" si="3"/>
        <v>3880.8</v>
      </c>
      <c r="L11">
        <v>240</v>
      </c>
      <c r="M11">
        <f t="shared" si="2"/>
        <v>7920</v>
      </c>
    </row>
    <row r="13" spans="1:14" x14ac:dyDescent="0.35">
      <c r="A13" s="6" t="s">
        <v>26</v>
      </c>
      <c r="B13" s="6"/>
      <c r="C13" s="6"/>
      <c r="D13" s="6"/>
      <c r="E13" s="6"/>
      <c r="F13" s="6">
        <f>SUM(F2:F11)</f>
        <v>233</v>
      </c>
      <c r="G13" s="6">
        <f t="shared" ref="G13:M13" si="4">SUM(G2:G11)</f>
        <v>1374</v>
      </c>
      <c r="H13" s="6">
        <f t="shared" si="4"/>
        <v>31708</v>
      </c>
      <c r="I13" s="6">
        <f t="shared" si="4"/>
        <v>3804.9599999999996</v>
      </c>
      <c r="J13" s="6">
        <f t="shared" si="4"/>
        <v>2536.6400000000003</v>
      </c>
      <c r="K13" s="6">
        <f t="shared" si="4"/>
        <v>38049.600000000006</v>
      </c>
      <c r="L13" s="6">
        <f t="shared" si="4"/>
        <v>1900</v>
      </c>
      <c r="M13" s="6">
        <f t="shared" si="4"/>
        <v>62700</v>
      </c>
      <c r="N13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25A2-A5A6-4384-B852-219531DE73C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</dc:creator>
  <cp:lastModifiedBy>ronaklotia26@gmail.com</cp:lastModifiedBy>
  <dcterms:created xsi:type="dcterms:W3CDTF">2015-06-05T18:17:20Z</dcterms:created>
  <dcterms:modified xsi:type="dcterms:W3CDTF">2026-06-24T03:38:36Z</dcterms:modified>
</cp:coreProperties>
</file>